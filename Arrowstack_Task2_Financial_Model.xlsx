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_Data" sheetId="1" state="visible" r:id="rId3"/>
    <sheet name="Financial_Model" sheetId="2" state="visible" r:id="rId4"/>
    <sheet name="Pivot_Dashboard" sheetId="3" state="visible" r:id="rId5"/>
    <sheet name="Region_Pivot" sheetId="4" state="visible" r:id="rId6"/>
    <sheet name="Product_Pivot" sheetId="5" state="visible" r:id="rId7"/>
    <sheet name="Monthly_Pivot" sheetId="6" state="visible" r:id="rId8"/>
    <sheet name="Read_Me" sheetId="7" state="visible" r:id="rId9"/>
    <sheet name="Native_Region_Pivot" sheetId="8" state="visible" r:id="rId10"/>
    <sheet name="Native_Product_Pivot" sheetId="9" state="visible" r:id="rId11"/>
    <sheet name="Native_Monthly_Pivot" sheetId="10" state="visible" r:id="rId12"/>
  </sheets>
  <definedNames>
    <definedName function="false" hidden="true" localSheetId="5" name="_xlnm._FilterDatabase" vbProcedure="false">Monthly_Pivot!$A$3:$C$7</definedName>
    <definedName function="false" hidden="false" localSheetId="2" name="_xlnm.Print_Area" vbProcedure="false">Pivot_Dashboard!$A$1:$L$40</definedName>
    <definedName function="false" hidden="true" localSheetId="4" name="_xlnm._FilterDatabase" vbProcedure="false">Product_Pivot!$A$3:$D$8</definedName>
    <definedName function="false" hidden="true" localSheetId="3" name="_xlnm._FilterDatabase" vbProcedure="false">Region_Pivot!$A$3:$D$7</definedName>
    <definedName function="false" hidden="true" localSheetId="0" name="_xlnm._FilterDatabase" vbProcedure="false">Sales_Data!$A$1:$L$13</definedName>
  </definedNames>
  <calcPr iterateCount="100" refMode="A1" iterate="false" iterateDelta="0.0001"/>
  <pivotCaches>
    <pivotCache cacheId="1" r:id="rId1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<sst xmlns="http://schemas.openxmlformats.org/spreadsheetml/2006/main" count="216" uniqueCount="105">
  <si>
    <t xml:space="preserve">Order_ID</t>
  </si>
  <si>
    <t xml:space="preserve">Order_Date</t>
  </si>
  <si>
    <t xml:space="preserve">Region</t>
  </si>
  <si>
    <t xml:space="preserve">Product</t>
  </si>
  <si>
    <t xml:space="preserve">Category</t>
  </si>
  <si>
    <t xml:space="preserve">Units_Sold</t>
  </si>
  <si>
    <t xml:space="preserve">Unit_Price</t>
  </si>
  <si>
    <t xml:space="preserve">Unit_Cost</t>
  </si>
  <si>
    <t xml:space="preserve">Revenue</t>
  </si>
  <si>
    <t xml:space="preserve">Total_Cost</t>
  </si>
  <si>
    <t xml:space="preserve">Profit</t>
  </si>
  <si>
    <t xml:space="preserve">Profit_Margin</t>
  </si>
  <si>
    <t xml:space="preserve">North</t>
  </si>
  <si>
    <t xml:space="preserve">Laptop</t>
  </si>
  <si>
    <t xml:space="preserve">Electronics</t>
  </si>
  <si>
    <t xml:space="preserve">South</t>
  </si>
  <si>
    <t xml:space="preserve">Headphones</t>
  </si>
  <si>
    <t xml:space="preserve">Accessories</t>
  </si>
  <si>
    <t xml:space="preserve">East</t>
  </si>
  <si>
    <t xml:space="preserve">Keyboard</t>
  </si>
  <si>
    <t xml:space="preserve">West</t>
  </si>
  <si>
    <t xml:space="preserve">Mouse</t>
  </si>
  <si>
    <t xml:space="preserve">Monitor</t>
  </si>
  <si>
    <t xml:space="preserve">FINANCIAL PERFORMANCE MODEL</t>
  </si>
  <si>
    <t xml:space="preserve">Metric</t>
  </si>
  <si>
    <t xml:space="preserve">Value</t>
  </si>
  <si>
    <t xml:space="preserve">Interpretation</t>
  </si>
  <si>
    <t xml:space="preserve">Total Revenue</t>
  </si>
  <si>
    <t xml:space="preserve">Sales generated before costs</t>
  </si>
  <si>
    <t xml:space="preserve">Total Cost</t>
  </si>
  <si>
    <t xml:space="preserve">Direct product cost</t>
  </si>
  <si>
    <t xml:space="preserve">Total Profit</t>
  </si>
  <si>
    <t xml:space="preserve">Revenue less total cost</t>
  </si>
  <si>
    <t xml:space="preserve">Overall Profit Margin</t>
  </si>
  <si>
    <t xml:space="preserve">Profit as a share of revenue</t>
  </si>
  <si>
    <t xml:space="preserve">Total Units Sold</t>
  </si>
  <si>
    <t xml:space="preserve">Total units across all orders</t>
  </si>
  <si>
    <t xml:space="preserve">Number of Orders</t>
  </si>
  <si>
    <t xml:space="preserve">Count of order records</t>
  </si>
  <si>
    <t xml:space="preserve">Model checks</t>
  </si>
  <si>
    <t xml:space="preserve">Revenue check</t>
  </si>
  <si>
    <t xml:space="preserve">Profit check</t>
  </si>
  <si>
    <t xml:space="preserve">Note</t>
  </si>
  <si>
    <t xml:space="preserve">All records are simulated for practice; not actual Arrowstack/company data.</t>
  </si>
  <si>
    <t xml:space="preserve">EXECUTIVE FINANCIAL PERFORMANCE DASHBOARD</t>
  </si>
  <si>
    <t xml:space="preserve">Sample sales analysis | January–April 2026 | Values in Indian Rupees (₹)</t>
  </si>
  <si>
    <t xml:space="preserve">TOTAL REVENUE</t>
  </si>
  <si>
    <t xml:space="preserve">TOTAL PROFIT</t>
  </si>
  <si>
    <t xml:space="preserve">PROFIT MARGIN</t>
  </si>
  <si>
    <t xml:space="preserve">UNITS SOLD</t>
  </si>
  <si>
    <t xml:space="preserve">KEY BUSINESS INSIGHTS</t>
  </si>
  <si>
    <t xml:space="preserve">• Highest revenue product: Laptop</t>
  </si>
  <si>
    <t xml:space="preserve">• Top region by profit: West</t>
  </si>
  <si>
    <t xml:space="preserve">• Revenue peaks in February in this sample</t>
  </si>
  <si>
    <t xml:space="preserve">• Overall margin is about 27.22%</t>
  </si>
  <si>
    <t xml:space="preserve">• Interpret findings in context: only 12 simulated orders.</t>
  </si>
  <si>
    <t xml:space="preserve">Important: dashboard charts are linked to formula-based summary sheets. Native PivotTables and slicers are not embedded by this generator; see Read_Me for the quick Excel steps to add them.</t>
  </si>
  <si>
    <t xml:space="preserve">Native PivotTables: see Native_Region_Pivot, Native_Product_Pivot and Native_Monthly_Pivot.</t>
  </si>
  <si>
    <t xml:space="preserve">Interactive Excel slicers must be added in desktop Excel; they are not supported by this automated export.</t>
  </si>
  <si>
    <t xml:space="preserve">REGIONAL PERFORMANCE SUMMARY</t>
  </si>
  <si>
    <t xml:space="preserve">Revenue (₹)</t>
  </si>
  <si>
    <t xml:space="preserve">Profit (₹)</t>
  </si>
  <si>
    <t xml:space="preserve">Units Sold</t>
  </si>
  <si>
    <t xml:space="preserve">Excel PivotTable practice</t>
  </si>
  <si>
    <t xml:space="preserve">This is a formula-based summary, not a native PivotTable. See Read_Me for how to create true PivotTables in Excel.</t>
  </si>
  <si>
    <t xml:space="preserve">PRODUCT PERFORMANCE SUMMARY</t>
  </si>
  <si>
    <t xml:space="preserve">This is a formula-based summary, not a native PivotTable.</t>
  </si>
  <si>
    <t xml:space="preserve">MONTHLY PERFORMANCE SUMMARY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</si>
  <si>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</si>
  <si>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</si>
  <si>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</si>
  <si>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</si>
  <si>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</si>
  <si>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PROJECT GUIDE &amp; COMPLETION NOTES</t>
  </si>
  <si>
    <t xml:space="preserve">Purpose</t>
  </si>
  <si>
    <t xml:space="preserve">Excel financial modeling and dashboard practice using simulated sales data.</t>
  </si>
  <si>
    <t xml:space="preserve">Included</t>
  </si>
  <si>
    <t xml:space="preserve">Sales_Data, Financial_Model, Pivot_Dashboard, and formula-based Region_Pivot, Product_Pivot, Monthly_Pivot summaries.</t>
  </si>
  <si>
    <t xml:space="preserve">Important distinction</t>
  </si>
  <si>
    <t xml:space="preserve">The summary sheets are formula-based, not native Excel PivotTables. This workbook generator does not create true PivotTables or slicers.</t>
  </si>
  <si>
    <t xml:space="preserve">Create a real PivotTable</t>
  </si>
  <si>
    <t xml:space="preserve">On Sales_Data, click inside the SalesTable → Insert → PivotTable → New Worksheet. Add Region to Rows and Revenue and Profit to Values; set each Values field to Sum.</t>
  </si>
  <si>
    <t xml:space="preserve">Product PivotTable</t>
  </si>
  <si>
    <t xml:space="preserve">Repeat using Product in Rows and Revenue, Profit, Units_Sold in Values.</t>
  </si>
  <si>
    <t xml:space="preserve">Monthly PivotTable</t>
  </si>
  <si>
    <t xml:space="preserve">Repeat using Order_Date in Rows and Revenue and Profit in Values. Right-click a date → Group → Months and Years.</t>
  </si>
  <si>
    <t xml:space="preserve">Add slicer</t>
  </si>
  <si>
    <t xml:space="preserve">Click a native PivotTable → PivotTable Analyze → Insert Slicer → choose Region or Product.</t>
  </si>
  <si>
    <t xml:space="preserve">Refresh</t>
  </si>
  <si>
    <t xml:space="preserve">If source data changes, use Data → Refresh All. Formula-based summaries update automatically.</t>
  </si>
  <si>
    <t xml:space="preserve">Dataset</t>
  </si>
  <si>
    <t xml:space="preserve">12 simulated sales records, January–April 2026. This is not actual Arrowstack or company data.</t>
  </si>
  <si>
    <t xml:space="preserve">Submission reminder</t>
  </si>
  <si>
    <t xml:space="preserve">Review calculations and add screenshots before uploading. Only claim native PivotTables/slicers after you create and test them in Excel.</t>
  </si>
  <si>
    <t xml:space="preserve">NATIVE REGION PIVOT</t>
  </si>
  <si>
    <t xml:space="preserve">Filter</t>
  </si>
  <si>
    <t xml:space="preserve">Data</t>
  </si>
  <si>
    <t xml:space="preserve">Sum - Revenue</t>
  </si>
  <si>
    <t xml:space="preserve">Sum - Profit</t>
  </si>
  <si>
    <t xml:space="preserve">Sum - Units_Sold</t>
  </si>
  <si>
    <t xml:space="preserve">Total Sum - Revenue</t>
  </si>
  <si>
    <t xml:space="preserve">Total Sum - Profit</t>
  </si>
  <si>
    <t xml:space="preserve">Total Sum - Units_Sold</t>
  </si>
  <si>
    <t xml:space="preserve">NATIVE PRODUCT PIVOT</t>
  </si>
  <si>
    <t xml:space="preserve">NATIVE MONTHLY PIVOT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</si>
</sst>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\₹#,##0.00"/>
    <numFmt numFmtId="167" formatCode="0.00%"/>
    <numFmt numFmtId="168" formatCode="#,##0"/>
    <numFmt numFmtId="169" formatCode="\₹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3"/>
      <color rgb="FF17365D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8"/>
      <color rgb="FF17365D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0"/>
      <color rgb="FF17365D"/>
      <name val="Cambria"/>
      <family val="0"/>
      <charset val="1"/>
    </font>
    <font>
      <i val="true"/>
      <sz val="10"/>
      <color rgb="FF7F6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Cambria"/>
      <family val="0"/>
      <charset val="1"/>
    </font>
    <font>
      <b val="true"/>
      <sz val="11"/>
      <color rgb="FF0F6B78"/>
      <name val="Cambria"/>
      <family val="0"/>
      <charset val="1"/>
    </font>
    <font>
      <b val="true"/>
      <sz val="17"/>
      <color rgb="FFFFFFFF"/>
      <name val="Cambria"/>
      <family val="0"/>
      <charset val="1"/>
    </font>
    <font>
      <b val="true"/>
      <sz val="16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D9EAF7"/>
        <bgColor rgb="FFD9E2F3"/>
      </patternFill>
    </fill>
    <fill>
      <patternFill patternType="solid">
        <fgColor rgb="FF0F6B78"/>
        <bgColor rgb="FF008080"/>
      </patternFill>
    </fill>
    <fill>
      <patternFill patternType="solid">
        <fgColor rgb="FFF3F7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9F9F9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6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3F7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F6B78"/>
      <rgbColor rgb="FFC0C0C0"/>
      <rgbColor rgb="FF878787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B"/>
      <rgbColor rgb="FFD9E2F3"/>
      <rgbColor rgb="FFF9F9F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<Relationship Id="rId14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Monthly_Pivot!B3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Monthly_Pivot!$A$4:$A$7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Monthly_Pivot!$B$4:$B$7</c:f>
              <c:numCache>
                <c:formatCode>\₹#,##0</c:formatCode>
                <c:ptCount val="4"/>
                <c:pt idx="0">
                  <c:v>132000</c:v>
                </c:pt>
                <c:pt idx="1">
                  <c:v>210000</c:v>
                </c:pt>
                <c:pt idx="2">
                  <c:v>134000</c:v>
                </c:pt>
                <c:pt idx="3">
                  <c:v>131000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723111"/>
        <c:axId val="98541296"/>
      </c:lineChart>
      <c:catAx>
        <c:axId val="84723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541296"/>
        <c:crosses val="autoZero"/>
        <c:auto val="1"/>
        <c:lblAlgn val="ctr"/>
        <c:lblOffset val="100"/>
        <c:noMultiLvlLbl val="0"/>
      </c:catAx>
      <c:valAx>
        <c:axId val="98541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7231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Product_Pivot!B3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Product_Pivot!$A$4:$A$8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</c:strCache>
            </c:strRef>
          </c:cat>
          <c:val>
            <c:numRef>
              <c:f>Product_Pivot!$B$4:$B$8</c:f>
              <c:numCache>
                <c:formatCode>\₹#,##0</c:formatCode>
                <c:ptCount val="5"/>
                <c:pt idx="0">
                  <c:v>44000</c:v>
                </c:pt>
                <c:pt idx="1">
                  <c:v>27000</c:v>
                </c:pt>
                <c:pt idx="2">
                  <c:v>400000</c:v>
                </c:pt>
                <c:pt idx="3">
                  <c:v>108000</c:v>
                </c:pt>
                <c:pt idx="4">
                  <c:v>28000</c:v>
                </c:pt>
              </c:numCache>
            </c:numRef>
          </c:val>
        </c:ser>
        <c:gapWidth val="150"/>
        <c:overlap val="0"/>
        <c:axId val="27832734"/>
        <c:axId val="26991266"/>
      </c:barChart>
      <c:catAx>
        <c:axId val="2783273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991266"/>
        <c:crosses val="autoZero"/>
        <c:auto val="1"/>
        <c:lblAlgn val="ctr"/>
        <c:lblOffset val="100"/>
        <c:noMultiLvlLbl val="0"/>
      </c:catAx>
      <c:valAx>
        <c:axId val="26991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8327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Region_Pivot!C3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Region_Pivot!$A$4:$A$7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Region_Pivot!$C$4:$C$7</c:f>
              <c:numCache>
                <c:formatCode>\₹#,##0</c:formatCode>
                <c:ptCount val="4"/>
                <c:pt idx="0">
                  <c:v>24800</c:v>
                </c:pt>
                <c:pt idx="1">
                  <c:v>47500</c:v>
                </c:pt>
                <c:pt idx="2">
                  <c:v>28000</c:v>
                </c:pt>
                <c:pt idx="3">
                  <c:v>69600</c:v>
                </c:pt>
              </c:numCache>
            </c:numRef>
          </c:val>
        </c:ser>
        <c:gapWidth val="150"/>
        <c:overlap val="0"/>
        <c:axId val="15923737"/>
        <c:axId val="62195423"/>
      </c:barChart>
      <c:catAx>
        <c:axId val="159237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195423"/>
        <c:crosses val="autoZero"/>
        <c:auto val="1"/>
        <c:lblAlgn val="ctr"/>
        <c:lblOffset val="100"/>
        <c:noMultiLvlLbl val="0"/>
      </c:catAx>
      <c:valAx>
        <c:axId val="62195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9237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105840</xdr:colOff>
      <xdr:row>22</xdr:row>
      <xdr:rowOff>32400</xdr:rowOff>
    </xdr:to>
    <xdr:graphicFrame>
      <xdr:nvGraphicFramePr>
        <xdr:cNvPr id="0" name="Chart 1"/>
        <xdr:cNvGraphicFramePr/>
      </xdr:nvGraphicFramePr>
      <xdr:xfrm>
        <a:off x="0" y="20667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11</xdr:col>
      <xdr:colOff>105840</xdr:colOff>
      <xdr:row>22</xdr:row>
      <xdr:rowOff>32400</xdr:rowOff>
    </xdr:to>
    <xdr:graphicFrame>
      <xdr:nvGraphicFramePr>
        <xdr:cNvPr id="1" name="Chart 2"/>
        <xdr:cNvGraphicFramePr/>
      </xdr:nvGraphicFramePr>
      <xdr:xfrm>
        <a:off x="5920920" y="20667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5</xdr:col>
      <xdr:colOff>105840</xdr:colOff>
      <xdr:row>34</xdr:row>
      <xdr:rowOff>32760</xdr:rowOff>
    </xdr:to>
    <xdr:graphicFrame>
      <xdr:nvGraphicFramePr>
        <xdr:cNvPr id="2" name="Chart 3"/>
        <xdr:cNvGraphicFramePr/>
      </xdr:nvGraphicFramePr>
      <xdr:xfrm>
        <a:off x="0" y="4924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" createdVersion="3">
  <cacheSource type="worksheet">
    <worksheetSource ref="A1:L13" sheet="Sales_Data"/>
  </cacheSource>
  <cacheFields count="12">
    <cacheField name="Order_ID" numFmtId="0">
      <sharedItems containsSemiMixedTypes="0" containsString="0" containsNumber="1" containsInteger="1" minValue="1001" maxValue="1012" count="12">
        <n v="1001"/>
        <n v="1002"/>
        <n v="1003"/>
        <n v="1004"/>
        <n v="1005"/>
        <n v="1006"/>
        <n v="1007"/>
        <n v="1008"/>
        <n v="1009"/>
        <n v="1010"/>
        <n v="1011"/>
        <n v="1012"/>
      </sharedItems>
    </cacheField>
    <cacheField name="Order_Date" numFmtId="0">
      <sharedItems containsSemiMixedTypes="0" containsNonDate="0" containsDate="1" containsString="0" minDate="2026-01-05T00:00:00" maxDate="2026-04-25T00:00:00" count="12">
        <d v="2026-01-05T00:00:00"/>
        <d v="2026-01-12T00:00:00"/>
        <d v="2026-01-18T00:00:00"/>
        <d v="2026-02-03T00:00:00"/>
        <d v="2026-02-10T00:00:00"/>
        <d v="2026-02-19T00:00:00"/>
        <d v="2026-03-02T00:00:00"/>
        <d v="2026-03-11T00:00:00"/>
        <d v="2026-03-20T00:00:00"/>
        <d v="2026-04-04T00:00:00"/>
        <d v="2026-04-15T00:00:00"/>
        <d v="2026-04-25T00:00:00"/>
      </sharedItems>
    </cacheField>
    <cacheField name="Region" numFmtId="0">
      <sharedItems count="4">
        <s v="East"/>
        <s v="North"/>
        <s v="South"/>
        <s v="West"/>
      </sharedItems>
    </cacheField>
    <cacheField name="Product" numFmtId="0">
      <sharedItems count="5">
        <s v="Headphones"/>
        <s v="Keyboard"/>
        <s v="Laptop"/>
        <s v="Monitor"/>
        <s v="Mouse"/>
      </sharedItems>
    </cacheField>
    <cacheField name="Category" numFmtId="0">
      <sharedItems count="2">
        <s v="Accessories"/>
        <s v="Electronics"/>
      </sharedItems>
    </cacheField>
    <cacheField name="Units_Sold" numFmtId="0">
      <sharedItems containsSemiMixedTypes="0" containsString="0" containsNumber="1" containsInteger="1" minValue="1" maxValue="20" count="10">
        <n v="1"/>
        <n v="2"/>
        <n v="3"/>
        <n v="4"/>
        <n v="5"/>
        <n v="8"/>
        <n v="10"/>
        <n v="12"/>
        <n v="15"/>
        <n v="20"/>
      </sharedItems>
    </cacheField>
    <cacheField name="Unit_Price" numFmtId="0">
      <sharedItems containsSemiMixedTypes="0" containsString="0" containsNumber="1" containsInteger="1" minValue="800" maxValue="50000" count="5">
        <n v="800"/>
        <n v="1500"/>
        <n v="2000"/>
        <n v="12000"/>
        <n v="50000"/>
      </sharedItems>
    </cacheField>
    <cacheField name="Unit_Cost" numFmtId="0">
      <sharedItems containsSemiMixedTypes="0" containsString="0" containsNumber="1" containsInteger="1" minValue="400" maxValue="38000" count="5">
        <n v="400"/>
        <n v="900"/>
        <n v="1200"/>
        <n v="8500"/>
        <n v="38000"/>
      </sharedItems>
    </cacheField>
    <cacheField name="Revenue" numFmtId="0">
      <sharedItems containsSemiMixedTypes="0" containsString="0" containsNumber="1" containsInteger="1" minValue="12000" maxValue="150000" count="10">
        <n v="12000"/>
        <n v="15000"/>
        <n v="16000"/>
        <n v="20000"/>
        <n v="24000"/>
        <n v="48000"/>
        <n v="50000"/>
        <n v="60000"/>
        <n v="100000"/>
        <n v="150000"/>
      </sharedItems>
    </cacheField>
    <cacheField name="Total_Cost" numFmtId="0">
      <sharedItems containsSemiMixedTypes="0" containsString="0" containsNumber="1" containsInteger="1" minValue="6000" maxValue="114000" count="11">
        <n v="6000"/>
        <n v="7200"/>
        <n v="8000"/>
        <n v="9000"/>
        <n v="12000"/>
        <n v="14400"/>
        <n v="34000"/>
        <n v="38000"/>
        <n v="42500"/>
        <n v="76000"/>
        <n v="114000"/>
      </sharedItems>
    </cacheField>
    <cacheField name="Profit" numFmtId="0">
      <sharedItems containsSemiMixedTypes="0" containsString="0" containsNumber="1" containsInteger="1" minValue="4800" maxValue="36000" count="9">
        <n v="4800"/>
        <n v="6000"/>
        <n v="8000"/>
        <n v="9600"/>
        <n v="12000"/>
        <n v="14000"/>
        <n v="17500"/>
        <n v="24000"/>
        <n v="36000"/>
      </sharedItems>
    </cacheField>
    <cacheField name="Profit_Margin" numFmtId="0">
      <sharedItems containsSemiMixedTypes="0" containsString="0" containsNumber="1" minValue="0.24" maxValue="0.5" count="4">
        <n v="0.24"/>
        <n v="0.291666666666667"/>
        <n v="0.4"/>
        <n v="0.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1"/>
    <x v="2"/>
    <x v="1"/>
    <x v="1"/>
    <x v="4"/>
    <x v="4"/>
    <x v="8"/>
    <x v="9"/>
    <x v="7"/>
    <x v="0"/>
  </r>
  <r>
    <x v="1"/>
    <x v="1"/>
    <x v="2"/>
    <x v="0"/>
    <x v="0"/>
    <x v="6"/>
    <x v="2"/>
    <x v="2"/>
    <x v="3"/>
    <x v="4"/>
    <x v="2"/>
    <x v="2"/>
  </r>
  <r>
    <x v="2"/>
    <x v="2"/>
    <x v="0"/>
    <x v="1"/>
    <x v="0"/>
    <x v="5"/>
    <x v="1"/>
    <x v="1"/>
    <x v="0"/>
    <x v="1"/>
    <x v="0"/>
    <x v="2"/>
  </r>
  <r>
    <x v="3"/>
    <x v="3"/>
    <x v="3"/>
    <x v="2"/>
    <x v="1"/>
    <x v="2"/>
    <x v="4"/>
    <x v="4"/>
    <x v="9"/>
    <x v="10"/>
    <x v="8"/>
    <x v="0"/>
  </r>
  <r>
    <x v="4"/>
    <x v="4"/>
    <x v="1"/>
    <x v="4"/>
    <x v="0"/>
    <x v="8"/>
    <x v="0"/>
    <x v="0"/>
    <x v="0"/>
    <x v="0"/>
    <x v="1"/>
    <x v="3"/>
  </r>
  <r>
    <x v="5"/>
    <x v="5"/>
    <x v="2"/>
    <x v="3"/>
    <x v="1"/>
    <x v="3"/>
    <x v="3"/>
    <x v="3"/>
    <x v="5"/>
    <x v="6"/>
    <x v="5"/>
    <x v="1"/>
  </r>
  <r>
    <x v="6"/>
    <x v="6"/>
    <x v="0"/>
    <x v="2"/>
    <x v="1"/>
    <x v="0"/>
    <x v="4"/>
    <x v="4"/>
    <x v="6"/>
    <x v="7"/>
    <x v="4"/>
    <x v="0"/>
  </r>
  <r>
    <x v="7"/>
    <x v="7"/>
    <x v="3"/>
    <x v="0"/>
    <x v="0"/>
    <x v="7"/>
    <x v="2"/>
    <x v="2"/>
    <x v="4"/>
    <x v="5"/>
    <x v="3"/>
    <x v="2"/>
  </r>
  <r>
    <x v="8"/>
    <x v="8"/>
    <x v="1"/>
    <x v="3"/>
    <x v="1"/>
    <x v="4"/>
    <x v="3"/>
    <x v="3"/>
    <x v="7"/>
    <x v="8"/>
    <x v="6"/>
    <x v="1"/>
  </r>
  <r>
    <x v="9"/>
    <x v="9"/>
    <x v="2"/>
    <x v="1"/>
    <x v="0"/>
    <x v="6"/>
    <x v="1"/>
    <x v="1"/>
    <x v="1"/>
    <x v="3"/>
    <x v="1"/>
    <x v="2"/>
  </r>
  <r>
    <x v="10"/>
    <x v="10"/>
    <x v="0"/>
    <x v="4"/>
    <x v="0"/>
    <x v="9"/>
    <x v="0"/>
    <x v="0"/>
    <x v="2"/>
    <x v="2"/>
    <x v="2"/>
    <x v="3"/>
  </r>
  <r>
    <x v="11"/>
    <x v="11"/>
    <x v="3"/>
    <x v="2"/>
    <x v="1"/>
    <x v="1"/>
    <x v="4"/>
    <x v="4"/>
    <x v="8"/>
    <x v="9"/>
    <x v="7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gionPivot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C20" firstHeaderRow="1" firstDataRow="1" firstDataCol="2"/>
  <pivotFields count="12"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</pivotFields>
  <rowFields count="1">
    <field x="2"/>
  </rowFields>
  <rowItems count="1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 v="14"/>
    </i>
  </rowItems>
  <colItems count="1">
    <i t="grand">
      <x v="0"/>
    </i>
  </colItems>
  <dataFields count="3">
    <dataField name="Sum - Revenue" fld="8" subtotal="sum" numFmtId="166"/>
    <dataField name="Sum - Profit" fld="10" subtotal="sum" numFmtId="166"/>
    <dataField name="Sum - Units_Sold" fld="5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roductPivot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C23" firstHeaderRow="1" firstDataRow="1" firstDataCol="2"/>
  <pivotFields count="12">
    <pivotField compact="0" showAll="0"/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</pivotFields>
  <rowFields count="1">
    <field x="3"/>
  </rowFields>
  <rowItems count="18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 v="17"/>
    </i>
  </rowItems>
  <colItems count="1">
    <i t="grand">
      <x v="0"/>
    </i>
  </colItems>
  <dataFields count="3">
    <dataField name="Sum - Revenue" fld="8" subtotal="sum" numFmtId="166"/>
    <dataField name="Sum - Profit" fld="10" subtotal="sum" numFmtId="166"/>
    <dataField name="Sum - Units_Sold" fld="5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MonthlyPivot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C31" firstHeaderRow="1" firstDataRow="1" firstDataCol="2"/>
  <pivotFields count="12">
    <pivotField compact="0" showAll="0"/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</pivotFields>
  <rowFields count="1">
    <field x="1"/>
  </rowFields>
  <rowItems count="26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 v="25"/>
    </i>
  </rowItems>
  <colItems count="1">
    <i t="grand">
      <x v="0"/>
    </i>
  </colItems>
  <dataFields count="2">
    <dataField name="Sum - Revenue" fld="8" subtotal="sum" numFmtId="166"/>
    <dataField name="Sum - Profit" fld="10" subtotal="sum" numFmtId="166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alesTable" displayName="SalesTable" ref="A1:L13" headerRowCount="1" totalsRowCount="0" totalsRowShown="0">
  <autoFilter ref="A1:L13"/>
  <tableColumns count="12">
    <tableColumn id="1" name="Order_ID"/>
    <tableColumn id="2" name="Order_Date"/>
    <tableColumn id="3" name="Region"/>
    <tableColumn id="4" name="Product"/>
    <tableColumn id="5" name="Category"/>
    <tableColumn id="6" name="Units_Sold"/>
    <tableColumn id="7" name="Unit_Price"/>
    <tableColumn id="8" name="Unit_Cost"/>
    <tableColumn id="9" name="Revenue"/>
    <tableColumn id="10" name="Total_Cost"/>
    <tableColumn id="11" name="Profit"/>
    <tableColumn id="12" name="Profit_Marg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10" min="9" style="0" width="16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1001</v>
      </c>
      <c r="B2" s="3" t="n">
        <v>46027</v>
      </c>
      <c r="C2" s="2" t="s">
        <v>12</v>
      </c>
      <c r="D2" s="2" t="s">
        <v>13</v>
      </c>
      <c r="E2" s="2" t="s">
        <v>14</v>
      </c>
      <c r="F2" s="2" t="n">
        <v>2</v>
      </c>
      <c r="G2" s="4" t="n">
        <v>50000</v>
      </c>
      <c r="H2" s="4" t="n">
        <v>38000</v>
      </c>
      <c r="I2" s="4" t="n">
        <f aca="false">F2*G2</f>
        <v>100000</v>
      </c>
      <c r="J2" s="4" t="n">
        <f aca="false">F2*H2</f>
        <v>76000</v>
      </c>
      <c r="K2" s="4" t="n">
        <f aca="false">I2-J2</f>
        <v>24000</v>
      </c>
      <c r="L2" s="5" t="n">
        <f aca="false">IFERROR(K2/I2,0)</f>
        <v>0.24</v>
      </c>
    </row>
    <row r="3" customFormat="false" ht="15" hidden="false" customHeight="false" outlineLevel="0" collapsed="false">
      <c r="A3" s="2" t="n">
        <v>1002</v>
      </c>
      <c r="B3" s="3" t="n">
        <v>46034</v>
      </c>
      <c r="C3" s="2" t="s">
        <v>15</v>
      </c>
      <c r="D3" s="2" t="s">
        <v>16</v>
      </c>
      <c r="E3" s="2" t="s">
        <v>17</v>
      </c>
      <c r="F3" s="2" t="n">
        <v>10</v>
      </c>
      <c r="G3" s="4" t="n">
        <v>2000</v>
      </c>
      <c r="H3" s="4" t="n">
        <v>1200</v>
      </c>
      <c r="I3" s="4" t="n">
        <f aca="false">F3*G3</f>
        <v>20000</v>
      </c>
      <c r="J3" s="4" t="n">
        <f aca="false">F3*H3</f>
        <v>12000</v>
      </c>
      <c r="K3" s="4" t="n">
        <f aca="false">I3-J3</f>
        <v>8000</v>
      </c>
      <c r="L3" s="5" t="n">
        <f aca="false">IFERROR(K3/I3,0)</f>
        <v>0.4</v>
      </c>
    </row>
    <row r="4" customFormat="false" ht="15" hidden="false" customHeight="false" outlineLevel="0" collapsed="false">
      <c r="A4" s="2" t="n">
        <v>1003</v>
      </c>
      <c r="B4" s="3" t="n">
        <v>46040</v>
      </c>
      <c r="C4" s="2" t="s">
        <v>18</v>
      </c>
      <c r="D4" s="2" t="s">
        <v>19</v>
      </c>
      <c r="E4" s="2" t="s">
        <v>17</v>
      </c>
      <c r="F4" s="2" t="n">
        <v>8</v>
      </c>
      <c r="G4" s="4" t="n">
        <v>1500</v>
      </c>
      <c r="H4" s="4" t="n">
        <v>900</v>
      </c>
      <c r="I4" s="4" t="n">
        <f aca="false">F4*G4</f>
        <v>12000</v>
      </c>
      <c r="J4" s="4" t="n">
        <f aca="false">F4*H4</f>
        <v>7200</v>
      </c>
      <c r="K4" s="4" t="n">
        <f aca="false">I4-J4</f>
        <v>4800</v>
      </c>
      <c r="L4" s="5" t="n">
        <f aca="false">IFERROR(K4/I4,0)</f>
        <v>0.4</v>
      </c>
    </row>
    <row r="5" customFormat="false" ht="15" hidden="false" customHeight="false" outlineLevel="0" collapsed="false">
      <c r="A5" s="2" t="n">
        <v>1004</v>
      </c>
      <c r="B5" s="3" t="n">
        <v>46056</v>
      </c>
      <c r="C5" s="2" t="s">
        <v>20</v>
      </c>
      <c r="D5" s="2" t="s">
        <v>13</v>
      </c>
      <c r="E5" s="2" t="s">
        <v>14</v>
      </c>
      <c r="F5" s="2" t="n">
        <v>3</v>
      </c>
      <c r="G5" s="4" t="n">
        <v>50000</v>
      </c>
      <c r="H5" s="4" t="n">
        <v>38000</v>
      </c>
      <c r="I5" s="4" t="n">
        <f aca="false">F5*G5</f>
        <v>150000</v>
      </c>
      <c r="J5" s="4" t="n">
        <f aca="false">F5*H5</f>
        <v>114000</v>
      </c>
      <c r="K5" s="4" t="n">
        <f aca="false">I5-J5</f>
        <v>36000</v>
      </c>
      <c r="L5" s="5" t="n">
        <f aca="false">IFERROR(K5/I5,0)</f>
        <v>0.24</v>
      </c>
    </row>
    <row r="6" customFormat="false" ht="15" hidden="false" customHeight="false" outlineLevel="0" collapsed="false">
      <c r="A6" s="2" t="n">
        <v>1005</v>
      </c>
      <c r="B6" s="3" t="n">
        <v>46063</v>
      </c>
      <c r="C6" s="2" t="s">
        <v>12</v>
      </c>
      <c r="D6" s="2" t="s">
        <v>21</v>
      </c>
      <c r="E6" s="2" t="s">
        <v>17</v>
      </c>
      <c r="F6" s="2" t="n">
        <v>15</v>
      </c>
      <c r="G6" s="4" t="n">
        <v>800</v>
      </c>
      <c r="H6" s="4" t="n">
        <v>400</v>
      </c>
      <c r="I6" s="4" t="n">
        <f aca="false">F6*G6</f>
        <v>12000</v>
      </c>
      <c r="J6" s="4" t="n">
        <f aca="false">F6*H6</f>
        <v>6000</v>
      </c>
      <c r="K6" s="4" t="n">
        <f aca="false">I6-J6</f>
        <v>6000</v>
      </c>
      <c r="L6" s="5" t="n">
        <f aca="false">IFERROR(K6/I6,0)</f>
        <v>0.5</v>
      </c>
    </row>
    <row r="7" customFormat="false" ht="15" hidden="false" customHeight="false" outlineLevel="0" collapsed="false">
      <c r="A7" s="2" t="n">
        <v>1006</v>
      </c>
      <c r="B7" s="3" t="n">
        <v>46072</v>
      </c>
      <c r="C7" s="2" t="s">
        <v>15</v>
      </c>
      <c r="D7" s="2" t="s">
        <v>22</v>
      </c>
      <c r="E7" s="2" t="s">
        <v>14</v>
      </c>
      <c r="F7" s="2" t="n">
        <v>4</v>
      </c>
      <c r="G7" s="4" t="n">
        <v>12000</v>
      </c>
      <c r="H7" s="4" t="n">
        <v>8500</v>
      </c>
      <c r="I7" s="4" t="n">
        <f aca="false">F7*G7</f>
        <v>48000</v>
      </c>
      <c r="J7" s="4" t="n">
        <f aca="false">F7*H7</f>
        <v>34000</v>
      </c>
      <c r="K7" s="4" t="n">
        <f aca="false">I7-J7</f>
        <v>14000</v>
      </c>
      <c r="L7" s="5" t="n">
        <f aca="false">IFERROR(K7/I7,0)</f>
        <v>0.291666666666667</v>
      </c>
    </row>
    <row r="8" customFormat="false" ht="15" hidden="false" customHeight="false" outlineLevel="0" collapsed="false">
      <c r="A8" s="2" t="n">
        <v>1007</v>
      </c>
      <c r="B8" s="3" t="n">
        <v>46083</v>
      </c>
      <c r="C8" s="2" t="s">
        <v>18</v>
      </c>
      <c r="D8" s="2" t="s">
        <v>13</v>
      </c>
      <c r="E8" s="2" t="s">
        <v>14</v>
      </c>
      <c r="F8" s="2" t="n">
        <v>1</v>
      </c>
      <c r="G8" s="4" t="n">
        <v>50000</v>
      </c>
      <c r="H8" s="4" t="n">
        <v>38000</v>
      </c>
      <c r="I8" s="4" t="n">
        <f aca="false">F8*G8</f>
        <v>50000</v>
      </c>
      <c r="J8" s="4" t="n">
        <f aca="false">F8*H8</f>
        <v>38000</v>
      </c>
      <c r="K8" s="4" t="n">
        <f aca="false">I8-J8</f>
        <v>12000</v>
      </c>
      <c r="L8" s="5" t="n">
        <f aca="false">IFERROR(K8/I8,0)</f>
        <v>0.24</v>
      </c>
    </row>
    <row r="9" customFormat="false" ht="15" hidden="false" customHeight="false" outlineLevel="0" collapsed="false">
      <c r="A9" s="2" t="n">
        <v>1008</v>
      </c>
      <c r="B9" s="3" t="n">
        <v>46092</v>
      </c>
      <c r="C9" s="2" t="s">
        <v>20</v>
      </c>
      <c r="D9" s="2" t="s">
        <v>16</v>
      </c>
      <c r="E9" s="2" t="s">
        <v>17</v>
      </c>
      <c r="F9" s="2" t="n">
        <v>12</v>
      </c>
      <c r="G9" s="4" t="n">
        <v>2000</v>
      </c>
      <c r="H9" s="4" t="n">
        <v>1200</v>
      </c>
      <c r="I9" s="4" t="n">
        <f aca="false">F9*G9</f>
        <v>24000</v>
      </c>
      <c r="J9" s="4" t="n">
        <f aca="false">F9*H9</f>
        <v>14400</v>
      </c>
      <c r="K9" s="4" t="n">
        <f aca="false">I9-J9</f>
        <v>9600</v>
      </c>
      <c r="L9" s="5" t="n">
        <f aca="false">IFERROR(K9/I9,0)</f>
        <v>0.4</v>
      </c>
    </row>
    <row r="10" customFormat="false" ht="15" hidden="false" customHeight="false" outlineLevel="0" collapsed="false">
      <c r="A10" s="2" t="n">
        <v>1009</v>
      </c>
      <c r="B10" s="3" t="n">
        <v>46101</v>
      </c>
      <c r="C10" s="2" t="s">
        <v>12</v>
      </c>
      <c r="D10" s="2" t="s">
        <v>22</v>
      </c>
      <c r="E10" s="2" t="s">
        <v>14</v>
      </c>
      <c r="F10" s="2" t="n">
        <v>5</v>
      </c>
      <c r="G10" s="4" t="n">
        <v>12000</v>
      </c>
      <c r="H10" s="4" t="n">
        <v>8500</v>
      </c>
      <c r="I10" s="4" t="n">
        <f aca="false">F10*G10</f>
        <v>60000</v>
      </c>
      <c r="J10" s="4" t="n">
        <f aca="false">F10*H10</f>
        <v>42500</v>
      </c>
      <c r="K10" s="4" t="n">
        <f aca="false">I10-J10</f>
        <v>17500</v>
      </c>
      <c r="L10" s="5" t="n">
        <f aca="false">IFERROR(K10/I10,0)</f>
        <v>0.291666666666667</v>
      </c>
    </row>
    <row r="11" customFormat="false" ht="15" hidden="false" customHeight="false" outlineLevel="0" collapsed="false">
      <c r="A11" s="2" t="n">
        <v>1010</v>
      </c>
      <c r="B11" s="3" t="n">
        <v>46116</v>
      </c>
      <c r="C11" s="2" t="s">
        <v>15</v>
      </c>
      <c r="D11" s="2" t="s">
        <v>19</v>
      </c>
      <c r="E11" s="2" t="s">
        <v>17</v>
      </c>
      <c r="F11" s="2" t="n">
        <v>10</v>
      </c>
      <c r="G11" s="4" t="n">
        <v>1500</v>
      </c>
      <c r="H11" s="4" t="n">
        <v>900</v>
      </c>
      <c r="I11" s="4" t="n">
        <f aca="false">F11*G11</f>
        <v>15000</v>
      </c>
      <c r="J11" s="4" t="n">
        <f aca="false">F11*H11</f>
        <v>9000</v>
      </c>
      <c r="K11" s="4" t="n">
        <f aca="false">I11-J11</f>
        <v>6000</v>
      </c>
      <c r="L11" s="5" t="n">
        <f aca="false">IFERROR(K11/I11,0)</f>
        <v>0.4</v>
      </c>
    </row>
    <row r="12" customFormat="false" ht="15" hidden="false" customHeight="false" outlineLevel="0" collapsed="false">
      <c r="A12" s="2" t="n">
        <v>1011</v>
      </c>
      <c r="B12" s="3" t="n">
        <v>46127</v>
      </c>
      <c r="C12" s="2" t="s">
        <v>18</v>
      </c>
      <c r="D12" s="2" t="s">
        <v>21</v>
      </c>
      <c r="E12" s="2" t="s">
        <v>17</v>
      </c>
      <c r="F12" s="2" t="n">
        <v>20</v>
      </c>
      <c r="G12" s="4" t="n">
        <v>800</v>
      </c>
      <c r="H12" s="4" t="n">
        <v>400</v>
      </c>
      <c r="I12" s="4" t="n">
        <f aca="false">F12*G12</f>
        <v>16000</v>
      </c>
      <c r="J12" s="4" t="n">
        <f aca="false">F12*H12</f>
        <v>8000</v>
      </c>
      <c r="K12" s="4" t="n">
        <f aca="false">I12-J12</f>
        <v>8000</v>
      </c>
      <c r="L12" s="5" t="n">
        <f aca="false">IFERROR(K12/I12,0)</f>
        <v>0.5</v>
      </c>
    </row>
    <row r="13" customFormat="false" ht="15" hidden="false" customHeight="false" outlineLevel="0" collapsed="false">
      <c r="A13" s="2" t="n">
        <v>1012</v>
      </c>
      <c r="B13" s="3" t="n">
        <v>46137</v>
      </c>
      <c r="C13" s="2" t="s">
        <v>20</v>
      </c>
      <c r="D13" s="2" t="s">
        <v>13</v>
      </c>
      <c r="E13" s="2" t="s">
        <v>14</v>
      </c>
      <c r="F13" s="2" t="n">
        <v>2</v>
      </c>
      <c r="G13" s="4" t="n">
        <v>50000</v>
      </c>
      <c r="H13" s="4" t="n">
        <v>38000</v>
      </c>
      <c r="I13" s="4" t="n">
        <f aca="false">F13*G13</f>
        <v>100000</v>
      </c>
      <c r="J13" s="4" t="n">
        <f aca="false">F13*H13</f>
        <v>76000</v>
      </c>
      <c r="K13" s="4" t="n">
        <f aca="false">I13-J13</f>
        <v>24000</v>
      </c>
      <c r="L13" s="5" t="n">
        <f aca="false">IFERROR(K13/I13,0)</f>
        <v>0.24</v>
      </c>
    </row>
  </sheetData>
  <autoFilter ref="A1:L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22.05" hidden="false" customHeight="false" outlineLevel="0" collapsed="false">
      <c r="A1" s="6" t="s">
        <v>23</v>
      </c>
      <c r="B1" s="6"/>
      <c r="C1" s="6"/>
      <c r="D1" s="6"/>
    </row>
    <row r="3" customFormat="false" ht="15" hidden="false" customHeight="false" outlineLevel="0" collapsed="false">
      <c r="A3" s="7" t="s">
        <v>24</v>
      </c>
      <c r="B3" s="7" t="s">
        <v>25</v>
      </c>
      <c r="C3" s="7" t="s">
        <v>26</v>
      </c>
      <c r="D3" s="8"/>
    </row>
    <row r="4" customFormat="false" ht="15" hidden="false" customHeight="false" outlineLevel="0" collapsed="false">
      <c r="A4" s="9" t="s">
        <v>27</v>
      </c>
      <c r="B4" s="10" t="n">
        <f aca="false">SUM(Sales_Data!I2:I13)</f>
        <v>607000</v>
      </c>
      <c r="C4" s="11" t="s">
        <v>28</v>
      </c>
    </row>
    <row r="5" customFormat="false" ht="15" hidden="false" customHeight="false" outlineLevel="0" collapsed="false">
      <c r="A5" s="9" t="s">
        <v>29</v>
      </c>
      <c r="B5" s="10" t="n">
        <f aca="false">SUM(Sales_Data!J2:J13)</f>
        <v>437100</v>
      </c>
      <c r="C5" s="11" t="s">
        <v>30</v>
      </c>
    </row>
    <row r="6" customFormat="false" ht="15" hidden="false" customHeight="false" outlineLevel="0" collapsed="false">
      <c r="A6" s="9" t="s">
        <v>31</v>
      </c>
      <c r="B6" s="10" t="n">
        <f aca="false">SUM(Sales_Data!K2:K13)</f>
        <v>169900</v>
      </c>
      <c r="C6" s="11" t="s">
        <v>32</v>
      </c>
    </row>
    <row r="7" customFormat="false" ht="15" hidden="false" customHeight="false" outlineLevel="0" collapsed="false">
      <c r="A7" s="9" t="s">
        <v>33</v>
      </c>
      <c r="B7" s="12" t="n">
        <f aca="false">IFERROR(B6/B4,0)</f>
        <v>0.279901153212521</v>
      </c>
      <c r="C7" s="11" t="s">
        <v>34</v>
      </c>
    </row>
    <row r="8" customFormat="false" ht="15" hidden="false" customHeight="false" outlineLevel="0" collapsed="false">
      <c r="A8" s="9" t="s">
        <v>35</v>
      </c>
      <c r="B8" s="13" t="n">
        <f aca="false">SUM(Sales_Data!F2:F13)</f>
        <v>92</v>
      </c>
      <c r="C8" s="11" t="s">
        <v>36</v>
      </c>
    </row>
    <row r="9" customFormat="false" ht="15" hidden="false" customHeight="false" outlineLevel="0" collapsed="false">
      <c r="A9" s="9" t="s">
        <v>37</v>
      </c>
      <c r="B9" s="13" t="n">
        <f aca="false">COUNTA(Sales_Data!A2:A13)</f>
        <v>12</v>
      </c>
      <c r="C9" s="11" t="s">
        <v>38</v>
      </c>
    </row>
    <row r="12" customFormat="false" ht="16.15" hidden="false" customHeight="false" outlineLevel="0" collapsed="false">
      <c r="A12" s="14" t="s">
        <v>39</v>
      </c>
    </row>
    <row r="13" customFormat="false" ht="15" hidden="false" customHeight="false" outlineLevel="0" collapsed="false">
      <c r="A13" s="2" t="s">
        <v>40</v>
      </c>
      <c r="B13" s="2" t="str">
        <f aca="false">IF(ABS(B4-SUMPRODUCT(Sales_Data!F2:F13,Sales_Data!G2:G13))&lt;0.01,"PASS","CHECK")</f>
        <v>PASS</v>
      </c>
    </row>
    <row r="14" customFormat="false" ht="15" hidden="false" customHeight="false" outlineLevel="0" collapsed="false">
      <c r="A14" s="2" t="s">
        <v>41</v>
      </c>
      <c r="B14" s="2" t="str">
        <f aca="false">IF(ABS(B6-(B4-B5))&lt;0.01,"PASS","CHECK")</f>
        <v>PASS</v>
      </c>
    </row>
    <row r="16" customFormat="false" ht="15" hidden="false" customHeight="true" outlineLevel="0" collapsed="false">
      <c r="A16" s="2" t="s">
        <v>42</v>
      </c>
      <c r="B16" s="15" t="s">
        <v>43</v>
      </c>
      <c r="C16" s="15"/>
      <c r="D16" s="15"/>
    </row>
  </sheetData>
  <mergeCells count="2">
    <mergeCell ref="A1:D1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2" min="1" style="0" width="14"/>
  </cols>
  <sheetData>
    <row r="1" customFormat="false" ht="27.75" hidden="false" customHeight="true" outlineLevel="0" collapsed="false">
      <c r="A1" s="16" t="s">
        <v>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18" hidden="false" customHeight="tru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15" hidden="false" customHeight="false" outlineLevel="0" collapsed="false">
      <c r="A3" s="17" t="s">
        <v>45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customFormat="false" ht="24" hidden="false" customHeight="true" outlineLevel="0" collapsed="false">
      <c r="A5" s="18" t="s">
        <v>46</v>
      </c>
      <c r="B5" s="18"/>
      <c r="C5" s="18"/>
      <c r="D5" s="18" t="s">
        <v>47</v>
      </c>
      <c r="E5" s="18"/>
      <c r="F5" s="18"/>
      <c r="G5" s="18" t="s">
        <v>48</v>
      </c>
      <c r="H5" s="18"/>
      <c r="I5" s="18"/>
      <c r="J5" s="18" t="s">
        <v>49</v>
      </c>
      <c r="K5" s="18"/>
      <c r="L5" s="18"/>
    </row>
    <row r="6" customFormat="false" ht="24" hidden="false" customHeight="true" outlineLevel="0" collapsed="false">
      <c r="A6" s="19" t="n">
        <f aca="false">SUM(Sales_Data!I2:I13)</f>
        <v>607000</v>
      </c>
      <c r="B6" s="19"/>
      <c r="C6" s="19"/>
      <c r="D6" s="19" t="n">
        <f aca="false">SUM(Sales_Data!K2:K13)</f>
        <v>169900</v>
      </c>
      <c r="E6" s="19"/>
      <c r="F6" s="19"/>
      <c r="G6" s="20" t="n">
        <f aca="false">IFERROR(SUM(Sales_Data!K2:K13)/SUM(Sales_Data!I2:I13),0)</f>
        <v>0.279901153212521</v>
      </c>
      <c r="H6" s="20"/>
      <c r="I6" s="20"/>
      <c r="J6" s="21" t="n">
        <f aca="false">SUM(Sales_Data!F2:F13)</f>
        <v>92</v>
      </c>
      <c r="K6" s="21"/>
      <c r="L6" s="21"/>
    </row>
    <row r="7" customFormat="false" ht="24" hidden="false" customHeight="true" outlineLevel="0" collapsed="false">
      <c r="A7" s="19"/>
      <c r="B7" s="19"/>
      <c r="C7" s="19"/>
      <c r="D7" s="19"/>
      <c r="E7" s="19"/>
      <c r="F7" s="19"/>
      <c r="G7" s="20"/>
      <c r="H7" s="20"/>
      <c r="I7" s="20"/>
      <c r="J7" s="21"/>
      <c r="K7" s="21"/>
      <c r="L7" s="21"/>
    </row>
    <row r="24" customFormat="false" ht="15" hidden="false" customHeight="false" outlineLevel="0" collapsed="false">
      <c r="G24" s="22" t="s">
        <v>50</v>
      </c>
      <c r="H24" s="22"/>
      <c r="I24" s="22"/>
      <c r="J24" s="22"/>
      <c r="K24" s="22"/>
      <c r="L24" s="22"/>
    </row>
    <row r="25" customFormat="false" ht="24" hidden="false" customHeight="true" outlineLevel="0" collapsed="false">
      <c r="G25" s="23" t="s">
        <v>51</v>
      </c>
      <c r="H25" s="23"/>
      <c r="I25" s="23"/>
      <c r="J25" s="23"/>
      <c r="K25" s="23"/>
      <c r="L25" s="23"/>
    </row>
    <row r="26" customFormat="false" ht="24" hidden="false" customHeight="true" outlineLevel="0" collapsed="false">
      <c r="G26" s="24" t="s">
        <v>52</v>
      </c>
      <c r="H26" s="24"/>
      <c r="I26" s="24"/>
      <c r="J26" s="24"/>
      <c r="K26" s="24"/>
      <c r="L26" s="24"/>
    </row>
    <row r="27" customFormat="false" ht="24" hidden="false" customHeight="true" outlineLevel="0" collapsed="false">
      <c r="G27" s="23" t="s">
        <v>53</v>
      </c>
      <c r="H27" s="23"/>
      <c r="I27" s="23"/>
      <c r="J27" s="23"/>
      <c r="K27" s="23"/>
      <c r="L27" s="23"/>
    </row>
    <row r="28" customFormat="false" ht="24" hidden="false" customHeight="true" outlineLevel="0" collapsed="false">
      <c r="G28" s="24" t="s">
        <v>54</v>
      </c>
      <c r="H28" s="24"/>
      <c r="I28" s="24"/>
      <c r="J28" s="24"/>
      <c r="K28" s="24"/>
      <c r="L28" s="24"/>
    </row>
    <row r="29" customFormat="false" ht="24" hidden="false" customHeight="true" outlineLevel="0" collapsed="false">
      <c r="G29" s="23" t="s">
        <v>55</v>
      </c>
      <c r="H29" s="23"/>
      <c r="I29" s="23"/>
      <c r="J29" s="23"/>
      <c r="K29" s="23"/>
      <c r="L29" s="23"/>
    </row>
    <row r="39" customFormat="false" ht="15" hidden="false" customHeight="true" outlineLevel="0" collapsed="false">
      <c r="A39" s="25" t="s">
        <v>56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2" customFormat="false" ht="15" hidden="false" customHeight="false" outlineLevel="0" collapsed="false">
      <c r="A42" s="0" t="s">
        <v>57</v>
      </c>
    </row>
    <row r="43" customFormat="false" ht="15" hidden="false" customHeight="false" outlineLevel="0" collapsed="false">
      <c r="A43" s="0" t="s">
        <v>58</v>
      </c>
    </row>
  </sheetData>
  <mergeCells count="17">
    <mergeCell ref="A1:L2"/>
    <mergeCell ref="A3:L3"/>
    <mergeCell ref="A5:C5"/>
    <mergeCell ref="D5:F5"/>
    <mergeCell ref="G5:I5"/>
    <mergeCell ref="J5:L5"/>
    <mergeCell ref="A6:C7"/>
    <mergeCell ref="D6:F7"/>
    <mergeCell ref="G6:I7"/>
    <mergeCell ref="J6:L7"/>
    <mergeCell ref="G24:L24"/>
    <mergeCell ref="G25:L25"/>
    <mergeCell ref="G26:L26"/>
    <mergeCell ref="G27:L27"/>
    <mergeCell ref="G28:L28"/>
    <mergeCell ref="G29:L29"/>
    <mergeCell ref="A39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26" t="s">
        <v>59</v>
      </c>
      <c r="B1" s="26"/>
      <c r="C1" s="26"/>
      <c r="D1" s="26"/>
    </row>
    <row r="3" customFormat="false" ht="15" hidden="false" customHeight="false" outlineLevel="0" collapsed="false">
      <c r="A3" s="7" t="s">
        <v>2</v>
      </c>
      <c r="B3" s="7" t="s">
        <v>60</v>
      </c>
      <c r="C3" s="7" t="s">
        <v>61</v>
      </c>
      <c r="D3" s="7" t="s">
        <v>62</v>
      </c>
    </row>
    <row r="4" customFormat="false" ht="15" hidden="false" customHeight="false" outlineLevel="0" collapsed="false">
      <c r="A4" s="27" t="s">
        <v>18</v>
      </c>
      <c r="B4" s="28" t="n">
        <f aca="false">SUMIF(Sales_Data!$C$2:$C$13,A4,Sales_Data!$I$2:$I$13)</f>
        <v>78000</v>
      </c>
      <c r="C4" s="28" t="n">
        <f aca="false">SUMIF(Sales_Data!$C$2:$C$13,A4,Sales_Data!$K$2:$K$13)</f>
        <v>24800</v>
      </c>
      <c r="D4" s="29" t="n">
        <f aca="false">SUMIF(Sales_Data!$C$2:$C$13,A4,Sales_Data!$F$2:$F$13)</f>
        <v>29</v>
      </c>
    </row>
    <row r="5" customFormat="false" ht="15" hidden="false" customHeight="false" outlineLevel="0" collapsed="false">
      <c r="A5" s="2" t="s">
        <v>12</v>
      </c>
      <c r="B5" s="30" t="n">
        <f aca="false">SUMIF(Sales_Data!$C$2:$C$13,A5,Sales_Data!$I$2:$I$13)</f>
        <v>172000</v>
      </c>
      <c r="C5" s="30" t="n">
        <f aca="false">SUMIF(Sales_Data!$C$2:$C$13,A5,Sales_Data!$K$2:$K$13)</f>
        <v>47500</v>
      </c>
      <c r="D5" s="31" t="n">
        <f aca="false">SUMIF(Sales_Data!$C$2:$C$13,A5,Sales_Data!$F$2:$F$13)</f>
        <v>22</v>
      </c>
    </row>
    <row r="6" customFormat="false" ht="15" hidden="false" customHeight="false" outlineLevel="0" collapsed="false">
      <c r="A6" s="27" t="s">
        <v>15</v>
      </c>
      <c r="B6" s="28" t="n">
        <f aca="false">SUMIF(Sales_Data!$C$2:$C$13,A6,Sales_Data!$I$2:$I$13)</f>
        <v>83000</v>
      </c>
      <c r="C6" s="28" t="n">
        <f aca="false">SUMIF(Sales_Data!$C$2:$C$13,A6,Sales_Data!$K$2:$K$13)</f>
        <v>28000</v>
      </c>
      <c r="D6" s="29" t="n">
        <f aca="false">SUMIF(Sales_Data!$C$2:$C$13,A6,Sales_Data!$F$2:$F$13)</f>
        <v>24</v>
      </c>
    </row>
    <row r="7" customFormat="false" ht="15" hidden="false" customHeight="false" outlineLevel="0" collapsed="false">
      <c r="A7" s="2" t="s">
        <v>20</v>
      </c>
      <c r="B7" s="30" t="n">
        <f aca="false">SUMIF(Sales_Data!$C$2:$C$13,A7,Sales_Data!$I$2:$I$13)</f>
        <v>274000</v>
      </c>
      <c r="C7" s="30" t="n">
        <f aca="false">SUMIF(Sales_Data!$C$2:$C$13,A7,Sales_Data!$K$2:$K$13)</f>
        <v>69600</v>
      </c>
      <c r="D7" s="31" t="n">
        <f aca="false">SUMIF(Sales_Data!$C$2:$C$13,A7,Sales_Data!$F$2:$F$13)</f>
        <v>17</v>
      </c>
    </row>
    <row r="10" customFormat="false" ht="15" hidden="false" customHeight="false" outlineLevel="0" collapsed="false">
      <c r="A10" s="32" t="s">
        <v>63</v>
      </c>
    </row>
    <row r="11" customFormat="false" ht="15" hidden="false" customHeight="false" outlineLevel="0" collapsed="false">
      <c r="A11" s="2" t="s">
        <v>64</v>
      </c>
    </row>
  </sheetData>
  <autoFilter ref="A3:D7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26" t="s">
        <v>65</v>
      </c>
      <c r="B1" s="26"/>
      <c r="C1" s="26"/>
      <c r="D1" s="26"/>
    </row>
    <row r="3" customFormat="false" ht="15" hidden="false" customHeight="false" outlineLevel="0" collapsed="false">
      <c r="A3" s="7" t="s">
        <v>3</v>
      </c>
      <c r="B3" s="7" t="s">
        <v>60</v>
      </c>
      <c r="C3" s="7" t="s">
        <v>61</v>
      </c>
      <c r="D3" s="7" t="s">
        <v>62</v>
      </c>
    </row>
    <row r="4" customFormat="false" ht="15" hidden="false" customHeight="false" outlineLevel="0" collapsed="false">
      <c r="A4" s="27" t="s">
        <v>16</v>
      </c>
      <c r="B4" s="28" t="n">
        <f aca="false">SUMIF(Sales_Data!$D$2:$D$13,A4,Sales_Data!$I$2:$I$13)</f>
        <v>44000</v>
      </c>
      <c r="C4" s="28" t="n">
        <f aca="false">SUMIF(Sales_Data!$D$2:$D$13,A4,Sales_Data!$K$2:$K$13)</f>
        <v>17600</v>
      </c>
      <c r="D4" s="29" t="n">
        <f aca="false">SUMIF(Sales_Data!$D$2:$D$13,A4,Sales_Data!$F$2:$F$13)</f>
        <v>22</v>
      </c>
    </row>
    <row r="5" customFormat="false" ht="15" hidden="false" customHeight="false" outlineLevel="0" collapsed="false">
      <c r="A5" s="2" t="s">
        <v>19</v>
      </c>
      <c r="B5" s="30" t="n">
        <f aca="false">SUMIF(Sales_Data!$D$2:$D$13,A5,Sales_Data!$I$2:$I$13)</f>
        <v>27000</v>
      </c>
      <c r="C5" s="30" t="n">
        <f aca="false">SUMIF(Sales_Data!$D$2:$D$13,A5,Sales_Data!$K$2:$K$13)</f>
        <v>10800</v>
      </c>
      <c r="D5" s="31" t="n">
        <f aca="false">SUMIF(Sales_Data!$D$2:$D$13,A5,Sales_Data!$F$2:$F$13)</f>
        <v>18</v>
      </c>
    </row>
    <row r="6" customFormat="false" ht="15" hidden="false" customHeight="false" outlineLevel="0" collapsed="false">
      <c r="A6" s="27" t="s">
        <v>13</v>
      </c>
      <c r="B6" s="28" t="n">
        <f aca="false">SUMIF(Sales_Data!$D$2:$D$13,A6,Sales_Data!$I$2:$I$13)</f>
        <v>400000</v>
      </c>
      <c r="C6" s="28" t="n">
        <f aca="false">SUMIF(Sales_Data!$D$2:$D$13,A6,Sales_Data!$K$2:$K$13)</f>
        <v>96000</v>
      </c>
      <c r="D6" s="29" t="n">
        <f aca="false">SUMIF(Sales_Data!$D$2:$D$13,A6,Sales_Data!$F$2:$F$13)</f>
        <v>8</v>
      </c>
    </row>
    <row r="7" customFormat="false" ht="15" hidden="false" customHeight="false" outlineLevel="0" collapsed="false">
      <c r="A7" s="2" t="s">
        <v>22</v>
      </c>
      <c r="B7" s="30" t="n">
        <f aca="false">SUMIF(Sales_Data!$D$2:$D$13,A7,Sales_Data!$I$2:$I$13)</f>
        <v>108000</v>
      </c>
      <c r="C7" s="30" t="n">
        <f aca="false">SUMIF(Sales_Data!$D$2:$D$13,A7,Sales_Data!$K$2:$K$13)</f>
        <v>31500</v>
      </c>
      <c r="D7" s="31" t="n">
        <f aca="false">SUMIF(Sales_Data!$D$2:$D$13,A7,Sales_Data!$F$2:$F$13)</f>
        <v>9</v>
      </c>
    </row>
    <row r="8" customFormat="false" ht="15" hidden="false" customHeight="false" outlineLevel="0" collapsed="false">
      <c r="A8" s="27" t="s">
        <v>21</v>
      </c>
      <c r="B8" s="28" t="n">
        <f aca="false">SUMIF(Sales_Data!$D$2:$D$13,A8,Sales_Data!$I$2:$I$13)</f>
        <v>28000</v>
      </c>
      <c r="C8" s="28" t="n">
        <f aca="false">SUMIF(Sales_Data!$D$2:$D$13,A8,Sales_Data!$K$2:$K$13)</f>
        <v>14000</v>
      </c>
      <c r="D8" s="29" t="n">
        <f aca="false">SUMIF(Sales_Data!$D$2:$D$13,A8,Sales_Data!$F$2:$F$13)</f>
        <v>35</v>
      </c>
    </row>
    <row r="11" customFormat="false" ht="15" hidden="false" customHeight="false" outlineLevel="0" collapsed="false">
      <c r="A11" s="2" t="s">
        <v>66</v>
      </c>
    </row>
  </sheetData>
  <autoFilter ref="A3:D8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</cols>
  <sheetData>
    <row r="1" customFormat="false" ht="19.7" hidden="false" customHeight="false" outlineLevel="0" collapsed="false">
      <c r="A1" s="26" t="s">
        <v>67</v>
      </c>
      <c r="B1" s="26"/>
      <c r="C1" s="26"/>
    </row>
    <row r="3" customFormat="false" ht="15" hidden="false" customHeight="false" outlineLevel="0" collapsed="false">
      <c r="A3" s="7" t="s">
        <v>68</v>
      </c>
      <c r="B3" s="7" t="s">
        <v>60</v>
      </c>
      <c r="C3" s="7" t="s">
        <v>61</v>
      </c>
    </row>
    <row r="4" customFormat="false" ht="15" hidden="false" customHeight="false" outlineLevel="0" collapsed="false">
      <c r="A4" s="27" t="s">
        <v>69</v>
      </c>
      <c r="B4" s="28" t="n">
        <f aca="false">SUMPRODUCT((MONTH(Sales_Data!$B$2:$B$13)=1)*(YEAR(Sales_Data!$B$2:$B$13)=2026)*Sales_Data!$I$2:$I$13)</f>
        <v>132000</v>
      </c>
      <c r="C4" s="28" t="n">
        <f aca="false">SUMPRODUCT((MONTH(Sales_Data!$B$2:$B$13)=1)*(YEAR(Sales_Data!$B$2:$B$13)=2026)*Sales_Data!$K$2:$K$13)</f>
        <v>36800</v>
      </c>
    </row>
    <row r="5" customFormat="false" ht="15" hidden="false" customHeight="false" outlineLevel="0" collapsed="false">
      <c r="A5" s="2" t="s">
        <v>70</v>
      </c>
      <c r="B5" s="30" t="n">
        <f aca="false">SUMPRODUCT((MONTH(Sales_Data!$B$2:$B$13)=2)*(YEAR(Sales_Data!$B$2:$B$13)=2026)*Sales_Data!$I$2:$I$13)</f>
        <v>210000</v>
      </c>
      <c r="C5" s="30" t="n">
        <f aca="false">SUMPRODUCT((MONTH(Sales_Data!$B$2:$B$13)=2)*(YEAR(Sales_Data!$B$2:$B$13)=2026)*Sales_Data!$K$2:$K$13)</f>
        <v>56000</v>
      </c>
    </row>
    <row r="6" customFormat="false" ht="15" hidden="false" customHeight="false" outlineLevel="0" collapsed="false">
      <c r="A6" s="27" t="s">
        <v>71</v>
      </c>
      <c r="B6" s="28" t="n">
        <f aca="false">SUMPRODUCT((MONTH(Sales_Data!$B$2:$B$13)=3)*(YEAR(Sales_Data!$B$2:$B$13)=2026)*Sales_Data!$I$2:$I$13)</f>
        <v>134000</v>
      </c>
      <c r="C6" s="28" t="n">
        <f aca="false">SUMPRODUCT((MONTH(Sales_Data!$B$2:$B$13)=3)*(YEAR(Sales_Data!$B$2:$B$13)=2026)*Sales_Data!$K$2:$K$13)</f>
        <v>39100</v>
      </c>
    </row>
    <row r="7" customFormat="false" ht="15" hidden="false" customHeight="false" outlineLevel="0" collapsed="false">
      <c r="A7" s="2" t="s">
        <v>72</v>
      </c>
      <c r="B7" s="30" t="n">
        <f aca="false">SUMPRODUCT((MONTH(Sales_Data!$B$2:$B$13)=4)*(YEAR(Sales_Data!$B$2:$B$13)=2026)*Sales_Data!$I$2:$I$13)</f>
        <v>131000</v>
      </c>
      <c r="C7" s="30" t="n">
        <f aca="false">SUMPRODUCT((MONTH(Sales_Data!$B$2:$B$13)=4)*(YEAR(Sales_Data!$B$2:$B$13)=2026)*Sales_Data!$K$2:$K$13)</f>
        <v>38000</v>
      </c>
    </row>
    <row r="10" customFormat="false" ht="15" hidden="false" customHeight="false" outlineLevel="0" collapsed="false">
      <c r="A10" s="2" t="s">
        <v>66</v>
      </c>
    </row>
  </sheetData>
  <autoFilter ref="A3:C7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30"/>
  </cols>
  <sheetData>
    <row r="1" customFormat="false" ht="20.9" hidden="false" customHeight="false" outlineLevel="0" collapsed="false">
      <c r="A1" s="33" t="s">
        <v>73</v>
      </c>
      <c r="B1" s="33"/>
      <c r="C1" s="33"/>
      <c r="D1" s="33"/>
    </row>
    <row r="3" customFormat="false" ht="42" hidden="false" customHeight="true" outlineLevel="0" collapsed="false">
      <c r="A3" s="34" t="s">
        <v>74</v>
      </c>
      <c r="B3" s="35" t="s">
        <v>75</v>
      </c>
      <c r="C3" s="35"/>
      <c r="D3" s="35"/>
    </row>
    <row r="4" customFormat="false" ht="42" hidden="false" customHeight="true" outlineLevel="0" collapsed="false">
      <c r="A4" s="34" t="s">
        <v>76</v>
      </c>
      <c r="B4" s="35" t="s">
        <v>77</v>
      </c>
      <c r="C4" s="35"/>
      <c r="D4" s="35"/>
    </row>
    <row r="5" customFormat="false" ht="42" hidden="false" customHeight="true" outlineLevel="0" collapsed="false">
      <c r="A5" s="34" t="s">
        <v>78</v>
      </c>
      <c r="B5" s="35" t="s">
        <v>79</v>
      </c>
      <c r="C5" s="35"/>
      <c r="D5" s="35"/>
    </row>
    <row r="6" customFormat="false" ht="42" hidden="false" customHeight="true" outlineLevel="0" collapsed="false">
      <c r="A6" s="34" t="s">
        <v>80</v>
      </c>
      <c r="B6" s="35" t="s">
        <v>81</v>
      </c>
      <c r="C6" s="35"/>
      <c r="D6" s="35"/>
    </row>
    <row r="7" customFormat="false" ht="42" hidden="false" customHeight="true" outlineLevel="0" collapsed="false">
      <c r="A7" s="34" t="s">
        <v>82</v>
      </c>
      <c r="B7" s="35" t="s">
        <v>83</v>
      </c>
      <c r="C7" s="35"/>
      <c r="D7" s="35"/>
    </row>
    <row r="8" customFormat="false" ht="42" hidden="false" customHeight="true" outlineLevel="0" collapsed="false">
      <c r="A8" s="34" t="s">
        <v>84</v>
      </c>
      <c r="B8" s="35" t="s">
        <v>85</v>
      </c>
      <c r="C8" s="35"/>
      <c r="D8" s="35"/>
    </row>
    <row r="9" customFormat="false" ht="42" hidden="false" customHeight="true" outlineLevel="0" collapsed="false">
      <c r="A9" s="34" t="s">
        <v>86</v>
      </c>
      <c r="B9" s="35" t="s">
        <v>87</v>
      </c>
      <c r="C9" s="35"/>
      <c r="D9" s="35"/>
    </row>
    <row r="10" customFormat="false" ht="42" hidden="false" customHeight="true" outlineLevel="0" collapsed="false">
      <c r="A10" s="34" t="s">
        <v>88</v>
      </c>
      <c r="B10" s="35" t="s">
        <v>89</v>
      </c>
      <c r="C10" s="35"/>
      <c r="D10" s="35"/>
    </row>
    <row r="11" customFormat="false" ht="42" hidden="false" customHeight="true" outlineLevel="0" collapsed="false">
      <c r="A11" s="34" t="s">
        <v>90</v>
      </c>
      <c r="B11" s="35" t="s">
        <v>91</v>
      </c>
      <c r="C11" s="35"/>
      <c r="D11" s="35"/>
    </row>
    <row r="12" customFormat="false" ht="42" hidden="false" customHeight="true" outlineLevel="0" collapsed="false">
      <c r="A12" s="34" t="s">
        <v>92</v>
      </c>
      <c r="B12" s="35" t="s">
        <v>93</v>
      </c>
      <c r="C12" s="35"/>
      <c r="D12" s="35"/>
    </row>
  </sheetData>
  <mergeCells count="11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0" width="17.88"/>
  </cols>
  <sheetData>
    <row r="1" customFormat="false" ht="19.7" hidden="false" customHeight="false" outlineLevel="0" collapsed="false">
      <c r="A1" s="36" t="s">
        <v>94</v>
      </c>
    </row>
    <row r="3" customFormat="false" ht="12.8" hidden="false" customHeight="false" outlineLevel="0" collapsed="false">
      <c r="A3" s="37" t="s">
        <v>95</v>
      </c>
    </row>
    <row r="5" customFormat="false" ht="12.8" hidden="false" customHeight="false" outlineLevel="0" collapsed="false">
      <c r="A5" s="38" t="s">
        <v>2</v>
      </c>
      <c r="B5" s="39" t="s">
        <v>96</v>
      </c>
      <c r="C5" s="40"/>
    </row>
    <row r="6" customFormat="false" ht="12.8" hidden="false" customHeight="false" outlineLevel="0" collapsed="false">
      <c r="A6" s="41" t="s">
        <v>18</v>
      </c>
      <c r="B6" s="42" t="s">
        <v>97</v>
      </c>
      <c r="C6" s="43" t="n">
        <v>78000</v>
      </c>
    </row>
    <row r="7" customFormat="false" ht="12.8" hidden="false" customHeight="false" outlineLevel="0" collapsed="false">
      <c r="A7" s="44"/>
      <c r="B7" s="45" t="s">
        <v>98</v>
      </c>
      <c r="C7" s="46" t="n">
        <v>24800</v>
      </c>
    </row>
    <row r="8" customFormat="false" ht="12.8" hidden="false" customHeight="false" outlineLevel="0" collapsed="false">
      <c r="A8" s="47"/>
      <c r="B8" s="48" t="s">
        <v>99</v>
      </c>
      <c r="C8" s="49" t="n">
        <v>29</v>
      </c>
    </row>
    <row r="9" customFormat="false" ht="12.8" hidden="false" customHeight="false" outlineLevel="0" collapsed="false">
      <c r="A9" s="41" t="s">
        <v>12</v>
      </c>
      <c r="B9" s="42" t="s">
        <v>97</v>
      </c>
      <c r="C9" s="43" t="n">
        <v>172000</v>
      </c>
    </row>
    <row r="10" customFormat="false" ht="12.8" hidden="false" customHeight="false" outlineLevel="0" collapsed="false">
      <c r="A10" s="44"/>
      <c r="B10" s="45" t="s">
        <v>98</v>
      </c>
      <c r="C10" s="46" t="n">
        <v>47500</v>
      </c>
    </row>
    <row r="11" customFormat="false" ht="12.8" hidden="false" customHeight="false" outlineLevel="0" collapsed="false">
      <c r="A11" s="47"/>
      <c r="B11" s="48" t="s">
        <v>99</v>
      </c>
      <c r="C11" s="49" t="n">
        <v>22</v>
      </c>
    </row>
    <row r="12" customFormat="false" ht="12.8" hidden="false" customHeight="false" outlineLevel="0" collapsed="false">
      <c r="A12" s="41" t="s">
        <v>15</v>
      </c>
      <c r="B12" s="42" t="s">
        <v>97</v>
      </c>
      <c r="C12" s="43" t="n">
        <v>83000</v>
      </c>
    </row>
    <row r="13" customFormat="false" ht="12.8" hidden="false" customHeight="false" outlineLevel="0" collapsed="false">
      <c r="A13" s="44"/>
      <c r="B13" s="45" t="s">
        <v>98</v>
      </c>
      <c r="C13" s="46" t="n">
        <v>28000</v>
      </c>
    </row>
    <row r="14" customFormat="false" ht="12.8" hidden="false" customHeight="false" outlineLevel="0" collapsed="false">
      <c r="A14" s="47"/>
      <c r="B14" s="48" t="s">
        <v>99</v>
      </c>
      <c r="C14" s="49" t="n">
        <v>24</v>
      </c>
    </row>
    <row r="15" customFormat="false" ht="12.8" hidden="false" customHeight="false" outlineLevel="0" collapsed="false">
      <c r="A15" s="41" t="s">
        <v>20</v>
      </c>
      <c r="B15" s="42" t="s">
        <v>97</v>
      </c>
      <c r="C15" s="43" t="n">
        <v>274000</v>
      </c>
    </row>
    <row r="16" customFormat="false" ht="12.8" hidden="false" customHeight="false" outlineLevel="0" collapsed="false">
      <c r="A16" s="44"/>
      <c r="B16" s="45" t="s">
        <v>98</v>
      </c>
      <c r="C16" s="46" t="n">
        <v>69600</v>
      </c>
    </row>
    <row r="17" customFormat="false" ht="12.8" hidden="false" customHeight="false" outlineLevel="0" collapsed="false">
      <c r="A17" s="47"/>
      <c r="B17" s="48" t="s">
        <v>99</v>
      </c>
      <c r="C17" s="49" t="n">
        <v>17</v>
      </c>
    </row>
    <row r="18" customFormat="false" ht="12.8" hidden="false" customHeight="false" outlineLevel="0" collapsed="false">
      <c r="A18" s="50" t="s">
        <v>100</v>
      </c>
      <c r="B18" s="51"/>
      <c r="C18" s="52" t="n">
        <v>607000</v>
      </c>
    </row>
    <row r="19" customFormat="false" ht="12.8" hidden="false" customHeight="false" outlineLevel="0" collapsed="false">
      <c r="A19" s="50" t="s">
        <v>101</v>
      </c>
      <c r="B19" s="51"/>
      <c r="C19" s="52" t="n">
        <v>169900</v>
      </c>
    </row>
    <row r="20" customFormat="false" ht="12.8" hidden="false" customHeight="false" outlineLevel="0" collapsed="false">
      <c r="A20" s="53" t="s">
        <v>102</v>
      </c>
      <c r="B20" s="54"/>
      <c r="C20" s="55" t="n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0" width="17.88"/>
  </cols>
  <sheetData>
    <row r="1" customFormat="false" ht="19.7" hidden="false" customHeight="false" outlineLevel="0" collapsed="false">
      <c r="A1" s="36" t="s">
        <v>103</v>
      </c>
    </row>
    <row r="3" customFormat="false" ht="12.8" hidden="false" customHeight="false" outlineLevel="0" collapsed="false">
      <c r="A3" s="37" t="s">
        <v>95</v>
      </c>
    </row>
    <row r="5" customFormat="false" ht="12.8" hidden="false" customHeight="false" outlineLevel="0" collapsed="false">
      <c r="A5" s="38" t="s">
        <v>3</v>
      </c>
      <c r="B5" s="39" t="s">
        <v>96</v>
      </c>
      <c r="C5" s="40"/>
    </row>
    <row r="6" customFormat="false" ht="12.8" hidden="false" customHeight="false" outlineLevel="0" collapsed="false">
      <c r="A6" s="41" t="s">
        <v>16</v>
      </c>
      <c r="B6" s="42" t="s">
        <v>97</v>
      </c>
      <c r="C6" s="43" t="n">
        <v>44000</v>
      </c>
    </row>
    <row r="7" customFormat="false" ht="12.8" hidden="false" customHeight="false" outlineLevel="0" collapsed="false">
      <c r="A7" s="44"/>
      <c r="B7" s="45" t="s">
        <v>98</v>
      </c>
      <c r="C7" s="46" t="n">
        <v>17600</v>
      </c>
    </row>
    <row r="8" customFormat="false" ht="12.8" hidden="false" customHeight="false" outlineLevel="0" collapsed="false">
      <c r="A8" s="47"/>
      <c r="B8" s="48" t="s">
        <v>99</v>
      </c>
      <c r="C8" s="49" t="n">
        <v>22</v>
      </c>
    </row>
    <row r="9" customFormat="false" ht="12.8" hidden="false" customHeight="false" outlineLevel="0" collapsed="false">
      <c r="A9" s="41" t="s">
        <v>19</v>
      </c>
      <c r="B9" s="42" t="s">
        <v>97</v>
      </c>
      <c r="C9" s="43" t="n">
        <v>27000</v>
      </c>
    </row>
    <row r="10" customFormat="false" ht="12.8" hidden="false" customHeight="false" outlineLevel="0" collapsed="false">
      <c r="A10" s="44"/>
      <c r="B10" s="45" t="s">
        <v>98</v>
      </c>
      <c r="C10" s="46" t="n">
        <v>10800</v>
      </c>
    </row>
    <row r="11" customFormat="false" ht="12.8" hidden="false" customHeight="false" outlineLevel="0" collapsed="false">
      <c r="A11" s="47"/>
      <c r="B11" s="48" t="s">
        <v>99</v>
      </c>
      <c r="C11" s="49" t="n">
        <v>18</v>
      </c>
    </row>
    <row r="12" customFormat="false" ht="12.8" hidden="false" customHeight="false" outlineLevel="0" collapsed="false">
      <c r="A12" s="41" t="s">
        <v>13</v>
      </c>
      <c r="B12" s="42" t="s">
        <v>97</v>
      </c>
      <c r="C12" s="43" t="n">
        <v>400000</v>
      </c>
    </row>
    <row r="13" customFormat="false" ht="12.8" hidden="false" customHeight="false" outlineLevel="0" collapsed="false">
      <c r="A13" s="44"/>
      <c r="B13" s="45" t="s">
        <v>98</v>
      </c>
      <c r="C13" s="46" t="n">
        <v>96000</v>
      </c>
    </row>
    <row r="14" customFormat="false" ht="12.8" hidden="false" customHeight="false" outlineLevel="0" collapsed="false">
      <c r="A14" s="47"/>
      <c r="B14" s="48" t="s">
        <v>99</v>
      </c>
      <c r="C14" s="49" t="n">
        <v>8</v>
      </c>
    </row>
    <row r="15" customFormat="false" ht="12.8" hidden="false" customHeight="false" outlineLevel="0" collapsed="false">
      <c r="A15" s="41" t="s">
        <v>22</v>
      </c>
      <c r="B15" s="42" t="s">
        <v>97</v>
      </c>
      <c r="C15" s="43" t="n">
        <v>108000</v>
      </c>
    </row>
    <row r="16" customFormat="false" ht="12.8" hidden="false" customHeight="false" outlineLevel="0" collapsed="false">
      <c r="A16" s="44"/>
      <c r="B16" s="45" t="s">
        <v>98</v>
      </c>
      <c r="C16" s="46" t="n">
        <v>31500</v>
      </c>
    </row>
    <row r="17" customFormat="false" ht="12.8" hidden="false" customHeight="false" outlineLevel="0" collapsed="false">
      <c r="A17" s="47"/>
      <c r="B17" s="48" t="s">
        <v>99</v>
      </c>
      <c r="C17" s="49" t="n">
        <v>9</v>
      </c>
    </row>
    <row r="18" customFormat="false" ht="12.8" hidden="false" customHeight="false" outlineLevel="0" collapsed="false">
      <c r="A18" s="41" t="s">
        <v>21</v>
      </c>
      <c r="B18" s="42" t="s">
        <v>97</v>
      </c>
      <c r="C18" s="43" t="n">
        <v>28000</v>
      </c>
    </row>
    <row r="19" customFormat="false" ht="12.8" hidden="false" customHeight="false" outlineLevel="0" collapsed="false">
      <c r="A19" s="44"/>
      <c r="B19" s="45" t="s">
        <v>98</v>
      </c>
      <c r="C19" s="46" t="n">
        <v>14000</v>
      </c>
    </row>
    <row r="20" customFormat="false" ht="12.8" hidden="false" customHeight="false" outlineLevel="0" collapsed="false">
      <c r="A20" s="47"/>
      <c r="B20" s="48" t="s">
        <v>99</v>
      </c>
      <c r="C20" s="49" t="n">
        <v>35</v>
      </c>
    </row>
    <row r="21" customFormat="false" ht="12.8" hidden="false" customHeight="false" outlineLevel="0" collapsed="false">
      <c r="A21" s="50" t="s">
        <v>100</v>
      </c>
      <c r="B21" s="51"/>
      <c r="C21" s="52" t="n">
        <v>607000</v>
      </c>
    </row>
    <row r="22" customFormat="false" ht="12.8" hidden="false" customHeight="false" outlineLevel="0" collapsed="false">
      <c r="A22" s="50" t="s">
        <v>101</v>
      </c>
      <c r="B22" s="51"/>
      <c r="C22" s="52" t="n">
        <v>169900</v>
      </c>
    </row>
    <row r="23" customFormat="false" ht="12.8" hidden="false" customHeight="false" outlineLevel="0" collapsed="false">
      <c r="A23" s="53" t="s">
        <v>102</v>
      </c>
      <c r="B23" s="54"/>
      <c r="C23" s="55" t="n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1" style="0" width="17.88"/>
  </cols>
  <sheetData>
    <row r="1" customFormat="false" ht="19.7" hidden="false" customHeight="false" outlineLevel="0" collapsed="false">
      <c r="A1" s="36" t="s">
        <v>104</v>
      </c>
    </row>
    <row r="3" customFormat="false" ht="12.8" hidden="false" customHeight="false" outlineLevel="0" collapsed="false">
      <c r="A3" s="37" t="s">
        <v>95</v>
      </c>
    </row>
    <row r="5" customFormat="false" ht="12.8" hidden="false" customHeight="false" outlineLevel="0" collapsed="false">
      <c r="A5" s="38" t="s">
        <v>1</v>
      </c>
      <c r="B5" s="39" t="s">
        <v>96</v>
      </c>
      <c r="C5" s="40"/>
    </row>
    <row r="6" customFormat="false" ht="12.8" hidden="false" customHeight="false" outlineLevel="0" collapsed="false">
      <c r="A6" s="56" t="n">
        <v>46027</v>
      </c>
      <c r="B6" s="42" t="s">
        <v>97</v>
      </c>
      <c r="C6" s="43" t="n">
        <v>100000</v>
      </c>
    </row>
    <row r="7" customFormat="false" ht="12.8" hidden="false" customHeight="false" outlineLevel="0" collapsed="false">
      <c r="A7" s="57"/>
      <c r="B7" s="48" t="s">
        <v>98</v>
      </c>
      <c r="C7" s="58" t="n">
        <v>24000</v>
      </c>
    </row>
    <row r="8" customFormat="false" ht="12.8" hidden="false" customHeight="false" outlineLevel="0" collapsed="false">
      <c r="A8" s="56" t="n">
        <v>46034</v>
      </c>
      <c r="B8" s="42" t="s">
        <v>97</v>
      </c>
      <c r="C8" s="43" t="n">
        <v>20000</v>
      </c>
    </row>
    <row r="9" customFormat="false" ht="12.8" hidden="false" customHeight="false" outlineLevel="0" collapsed="false">
      <c r="A9" s="57"/>
      <c r="B9" s="48" t="s">
        <v>98</v>
      </c>
      <c r="C9" s="58" t="n">
        <v>8000</v>
      </c>
    </row>
    <row r="10" customFormat="false" ht="12.8" hidden="false" customHeight="false" outlineLevel="0" collapsed="false">
      <c r="A10" s="56" t="n">
        <v>46040</v>
      </c>
      <c r="B10" s="42" t="s">
        <v>97</v>
      </c>
      <c r="C10" s="43" t="n">
        <v>12000</v>
      </c>
    </row>
    <row r="11" customFormat="false" ht="12.8" hidden="false" customHeight="false" outlineLevel="0" collapsed="false">
      <c r="A11" s="57"/>
      <c r="B11" s="48" t="s">
        <v>98</v>
      </c>
      <c r="C11" s="58" t="n">
        <v>4800</v>
      </c>
    </row>
    <row r="12" customFormat="false" ht="12.8" hidden="false" customHeight="false" outlineLevel="0" collapsed="false">
      <c r="A12" s="56" t="n">
        <v>46056</v>
      </c>
      <c r="B12" s="42" t="s">
        <v>97</v>
      </c>
      <c r="C12" s="43" t="n">
        <v>150000</v>
      </c>
    </row>
    <row r="13" customFormat="false" ht="12.8" hidden="false" customHeight="false" outlineLevel="0" collapsed="false">
      <c r="A13" s="57"/>
      <c r="B13" s="48" t="s">
        <v>98</v>
      </c>
      <c r="C13" s="58" t="n">
        <v>36000</v>
      </c>
    </row>
    <row r="14" customFormat="false" ht="12.8" hidden="false" customHeight="false" outlineLevel="0" collapsed="false">
      <c r="A14" s="56" t="n">
        <v>46063</v>
      </c>
      <c r="B14" s="42" t="s">
        <v>97</v>
      </c>
      <c r="C14" s="43" t="n">
        <v>12000</v>
      </c>
    </row>
    <row r="15" customFormat="false" ht="12.8" hidden="false" customHeight="false" outlineLevel="0" collapsed="false">
      <c r="A15" s="57"/>
      <c r="B15" s="48" t="s">
        <v>98</v>
      </c>
      <c r="C15" s="58" t="n">
        <v>6000</v>
      </c>
    </row>
    <row r="16" customFormat="false" ht="12.8" hidden="false" customHeight="false" outlineLevel="0" collapsed="false">
      <c r="A16" s="56" t="n">
        <v>46072</v>
      </c>
      <c r="B16" s="42" t="s">
        <v>97</v>
      </c>
      <c r="C16" s="43" t="n">
        <v>48000</v>
      </c>
    </row>
    <row r="17" customFormat="false" ht="12.8" hidden="false" customHeight="false" outlineLevel="0" collapsed="false">
      <c r="A17" s="57"/>
      <c r="B17" s="48" t="s">
        <v>98</v>
      </c>
      <c r="C17" s="58" t="n">
        <v>14000</v>
      </c>
    </row>
    <row r="18" customFormat="false" ht="12.8" hidden="false" customHeight="false" outlineLevel="0" collapsed="false">
      <c r="A18" s="56" t="n">
        <v>46083</v>
      </c>
      <c r="B18" s="42" t="s">
        <v>97</v>
      </c>
      <c r="C18" s="43" t="n">
        <v>50000</v>
      </c>
    </row>
    <row r="19" customFormat="false" ht="12.8" hidden="false" customHeight="false" outlineLevel="0" collapsed="false">
      <c r="A19" s="57"/>
      <c r="B19" s="48" t="s">
        <v>98</v>
      </c>
      <c r="C19" s="58" t="n">
        <v>12000</v>
      </c>
    </row>
    <row r="20" customFormat="false" ht="12.8" hidden="false" customHeight="false" outlineLevel="0" collapsed="false">
      <c r="A20" s="56" t="n">
        <v>46092</v>
      </c>
      <c r="B20" s="42" t="s">
        <v>97</v>
      </c>
      <c r="C20" s="43" t="n">
        <v>24000</v>
      </c>
    </row>
    <row r="21" customFormat="false" ht="12.8" hidden="false" customHeight="false" outlineLevel="0" collapsed="false">
      <c r="A21" s="57"/>
      <c r="B21" s="48" t="s">
        <v>98</v>
      </c>
      <c r="C21" s="58" t="n">
        <v>9600</v>
      </c>
    </row>
    <row r="22" customFormat="false" ht="12.8" hidden="false" customHeight="false" outlineLevel="0" collapsed="false">
      <c r="A22" s="56" t="n">
        <v>46101</v>
      </c>
      <c r="B22" s="42" t="s">
        <v>97</v>
      </c>
      <c r="C22" s="43" t="n">
        <v>60000</v>
      </c>
    </row>
    <row r="23" customFormat="false" ht="12.8" hidden="false" customHeight="false" outlineLevel="0" collapsed="false">
      <c r="A23" s="57"/>
      <c r="B23" s="48" t="s">
        <v>98</v>
      </c>
      <c r="C23" s="58" t="n">
        <v>17500</v>
      </c>
    </row>
    <row r="24" customFormat="false" ht="12.8" hidden="false" customHeight="false" outlineLevel="0" collapsed="false">
      <c r="A24" s="56" t="n">
        <v>46116</v>
      </c>
      <c r="B24" s="42" t="s">
        <v>97</v>
      </c>
      <c r="C24" s="43" t="n">
        <v>15000</v>
      </c>
    </row>
    <row r="25" customFormat="false" ht="12.8" hidden="false" customHeight="false" outlineLevel="0" collapsed="false">
      <c r="A25" s="57"/>
      <c r="B25" s="48" t="s">
        <v>98</v>
      </c>
      <c r="C25" s="58" t="n">
        <v>6000</v>
      </c>
    </row>
    <row r="26" customFormat="false" ht="12.8" hidden="false" customHeight="false" outlineLevel="0" collapsed="false">
      <c r="A26" s="56" t="n">
        <v>46127</v>
      </c>
      <c r="B26" s="42" t="s">
        <v>97</v>
      </c>
      <c r="C26" s="43" t="n">
        <v>16000</v>
      </c>
    </row>
    <row r="27" customFormat="false" ht="12.8" hidden="false" customHeight="false" outlineLevel="0" collapsed="false">
      <c r="A27" s="57"/>
      <c r="B27" s="48" t="s">
        <v>98</v>
      </c>
      <c r="C27" s="58" t="n">
        <v>8000</v>
      </c>
    </row>
    <row r="28" customFormat="false" ht="12.8" hidden="false" customHeight="false" outlineLevel="0" collapsed="false">
      <c r="A28" s="56" t="n">
        <v>46137</v>
      </c>
      <c r="B28" s="42" t="s">
        <v>97</v>
      </c>
      <c r="C28" s="43" t="n">
        <v>100000</v>
      </c>
    </row>
    <row r="29" customFormat="false" ht="12.8" hidden="false" customHeight="false" outlineLevel="0" collapsed="false">
      <c r="A29" s="57"/>
      <c r="B29" s="48" t="s">
        <v>98</v>
      </c>
      <c r="C29" s="58" t="n">
        <v>24000</v>
      </c>
    </row>
    <row r="30" customFormat="false" ht="12.8" hidden="false" customHeight="false" outlineLevel="0" collapsed="false">
      <c r="A30" s="59" t="s">
        <v>100</v>
      </c>
      <c r="B30" s="51"/>
      <c r="C30" s="52" t="n">
        <v>607000</v>
      </c>
    </row>
    <row r="31" customFormat="false" ht="12.8" hidden="false" customHeight="false" outlineLevel="0" collapsed="false">
      <c r="A31" s="60" t="s">
        <v>101</v>
      </c>
      <c r="B31" s="54"/>
      <c r="C31" s="61" t="n">
        <v>169900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2026-10-27T14:35:50Z</dcterms:created>
  <dc:creator>openpyxl</dc:creator>
  <dc:description/>
  <dc:language>en-US</dc:language>
  <cp:lastModifiedBy/>
  <dcterms:modified xsi:type="dcterms:W3CDTF">2026-10-27T14:37:41Z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